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nada Share by State" sheetId="1" state="visible" r:id="rId3"/>
  </sheets>
  <definedNames>
    <definedName function="false" hidden="true" localSheetId="0" name="_xlnm._FilterDatabase" vbProcedure="false">'Canada Share by State'!$A$4:$J$54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<sst xmlns="http://schemas.openxmlformats.org/spreadsheetml/2006/main" count="120" uniqueCount="120">
  <si>
    <t xml:space="preserve">U.S. state goods trade with Canada, 2025 (US$ millions), 50 states</t>
  </si>
  <si>
    <t xml:space="preserve">Source: U.S. Census Bureau data via ITA TradeStats Express, "Trade by Partner by State" (annual 2025, all merchandise). Exports = origin of movement; imports = state of destination. Goods only.</t>
  </si>
  <si>
    <t xml:space="preserve">State</t>
  </si>
  <si>
    <t xml:space="preserve">Code</t>
  </si>
  <si>
    <t xml:space="preserve">Exports to Canada</t>
  </si>
  <si>
    <t xml:space="preserve">Exports to World</t>
  </si>
  <si>
    <t xml:space="preserve">Imports from Canada</t>
  </si>
  <si>
    <t xml:space="preserve">Imports from World</t>
  </si>
  <si>
    <t xml:space="preserve">Canada share of exports</t>
  </si>
  <si>
    <t xml:space="preserve">Canada share of imports</t>
  </si>
  <si>
    <t xml:space="preserve">Canada share of total trade</t>
  </si>
  <si>
    <t xml:space="preserve">Rank (total trade share)</t>
  </si>
  <si>
    <t xml:space="preserve">Alabama</t>
  </si>
  <si>
    <t xml:space="preserve">AL</t>
  </si>
  <si>
    <t xml:space="preserve">Alaska</t>
  </si>
  <si>
    <t xml:space="preserve">AK</t>
  </si>
  <si>
    <t xml:space="preserve">Arizona</t>
  </si>
  <si>
    <t xml:space="preserve">AZ</t>
  </si>
  <si>
    <t xml:space="preserve">Arkansas</t>
  </si>
  <si>
    <t xml:space="preserve">AR</t>
  </si>
  <si>
    <t xml:space="preserve">California</t>
  </si>
  <si>
    <t xml:space="preserve">CA</t>
  </si>
  <si>
    <t xml:space="preserve">Colorado</t>
  </si>
  <si>
    <t xml:space="preserve">CO</t>
  </si>
  <si>
    <t xml:space="preserve">Connecticut</t>
  </si>
  <si>
    <t xml:space="preserve">CT</t>
  </si>
  <si>
    <t xml:space="preserve">Delaware</t>
  </si>
  <si>
    <t xml:space="preserve">DE</t>
  </si>
  <si>
    <t xml:space="preserve">Florida</t>
  </si>
  <si>
    <t xml:space="preserve">FL</t>
  </si>
  <si>
    <t xml:space="preserve">Georgia</t>
  </si>
  <si>
    <t xml:space="preserve">GA</t>
  </si>
  <si>
    <t xml:space="preserve">Hawaii</t>
  </si>
  <si>
    <t xml:space="preserve">HI</t>
  </si>
  <si>
    <t xml:space="preserve">Idaho</t>
  </si>
  <si>
    <t xml:space="preserve">ID</t>
  </si>
  <si>
    <t xml:space="preserve">Illinois</t>
  </si>
  <si>
    <t xml:space="preserve">IL</t>
  </si>
  <si>
    <t xml:space="preserve">Indiana</t>
  </si>
  <si>
    <t xml:space="preserve">IN</t>
  </si>
  <si>
    <t xml:space="preserve">Iowa</t>
  </si>
  <si>
    <t xml:space="preserve">IA</t>
  </si>
  <si>
    <t xml:space="preserve">Kansas</t>
  </si>
  <si>
    <t xml:space="preserve">KS</t>
  </si>
  <si>
    <t xml:space="preserve">Kentucky</t>
  </si>
  <si>
    <t xml:space="preserve">KY</t>
  </si>
  <si>
    <t xml:space="preserve">Louisiana</t>
  </si>
  <si>
    <t xml:space="preserve">LA</t>
  </si>
  <si>
    <t xml:space="preserve">Maine</t>
  </si>
  <si>
    <t xml:space="preserve">ME</t>
  </si>
  <si>
    <t xml:space="preserve">Maryland</t>
  </si>
  <si>
    <t xml:space="preserve">MD</t>
  </si>
  <si>
    <t xml:space="preserve">Massachusetts</t>
  </si>
  <si>
    <t xml:space="preserve">MA</t>
  </si>
  <si>
    <t xml:space="preserve">Michigan</t>
  </si>
  <si>
    <t xml:space="preserve">MI</t>
  </si>
  <si>
    <t xml:space="preserve">Minnesota</t>
  </si>
  <si>
    <t xml:space="preserve">MN</t>
  </si>
  <si>
    <t xml:space="preserve">Mississippi</t>
  </si>
  <si>
    <t xml:space="preserve">MS</t>
  </si>
  <si>
    <t xml:space="preserve">Missouri</t>
  </si>
  <si>
    <t xml:space="preserve">MO</t>
  </si>
  <si>
    <t xml:space="preserve">Montana</t>
  </si>
  <si>
    <t xml:space="preserve">MT</t>
  </si>
  <si>
    <t xml:space="preserve">Nebraska</t>
  </si>
  <si>
    <t xml:space="preserve">NE</t>
  </si>
  <si>
    <t xml:space="preserve">Nevada</t>
  </si>
  <si>
    <t xml:space="preserve">NV</t>
  </si>
  <si>
    <t xml:space="preserve">New Hampshire</t>
  </si>
  <si>
    <t xml:space="preserve">NH</t>
  </si>
  <si>
    <t xml:space="preserve">New Jersey</t>
  </si>
  <si>
    <t xml:space="preserve">NJ</t>
  </si>
  <si>
    <t xml:space="preserve">New Mexico</t>
  </si>
  <si>
    <t xml:space="preserve">NM</t>
  </si>
  <si>
    <t xml:space="preserve">New York</t>
  </si>
  <si>
    <t xml:space="preserve">NY</t>
  </si>
  <si>
    <t xml:space="preserve">North Carolina</t>
  </si>
  <si>
    <t xml:space="preserve">NC</t>
  </si>
  <si>
    <t xml:space="preserve">North Dakota</t>
  </si>
  <si>
    <t xml:space="preserve">ND</t>
  </si>
  <si>
    <t xml:space="preserve">Ohio</t>
  </si>
  <si>
    <t xml:space="preserve">OH</t>
  </si>
  <si>
    <t xml:space="preserve">Oklahoma</t>
  </si>
  <si>
    <t xml:space="preserve">OK</t>
  </si>
  <si>
    <t xml:space="preserve">Oregon</t>
  </si>
  <si>
    <t xml:space="preserve">OR</t>
  </si>
  <si>
    <t xml:space="preserve">Pennsylvania</t>
  </si>
  <si>
    <t xml:space="preserve">PA</t>
  </si>
  <si>
    <t xml:space="preserve">Rhode Island</t>
  </si>
  <si>
    <t xml:space="preserve">RI</t>
  </si>
  <si>
    <t xml:space="preserve">South Carolina</t>
  </si>
  <si>
    <t xml:space="preserve">SC</t>
  </si>
  <si>
    <t xml:space="preserve">South Dakota</t>
  </si>
  <si>
    <t xml:space="preserve">SD</t>
  </si>
  <si>
    <t xml:space="preserve">Tennessee</t>
  </si>
  <si>
    <t xml:space="preserve">TN</t>
  </si>
  <si>
    <t xml:space="preserve">Texas</t>
  </si>
  <si>
    <t xml:space="preserve">TX</t>
  </si>
  <si>
    <t xml:space="preserve">Utah</t>
  </si>
  <si>
    <t xml:space="preserve">UT</t>
  </si>
  <si>
    <t xml:space="preserve">Vermont</t>
  </si>
  <si>
    <t xml:space="preserve">VT</t>
  </si>
  <si>
    <t xml:space="preserve">Virginia</t>
  </si>
  <si>
    <t xml:space="preserve">VA</t>
  </si>
  <si>
    <t xml:space="preserve">Washington</t>
  </si>
  <si>
    <t xml:space="preserve">WA</t>
  </si>
  <si>
    <t xml:space="preserve">West Virginia</t>
  </si>
  <si>
    <t xml:space="preserve">WV</t>
  </si>
  <si>
    <t xml:space="preserve">Wisconsin</t>
  </si>
  <si>
    <t xml:space="preserve">WI</t>
  </si>
  <si>
    <t xml:space="preserve">Wyoming</t>
  </si>
  <si>
    <t xml:space="preserve">WY</t>
  </si>
  <si>
    <t xml:space="preserve">All 50 states</t>
  </si>
  <si>
    <t xml:space="preserve">Notes</t>
  </si>
  <si>
    <t xml:space="preserve">Values in US$ millions, nominal, calendar year 2025. Blue = source data; black = formulas.</t>
  </si>
  <si>
    <t xml:space="preserve">Canada share of total trade = (exports to Canada + imports from Canada) ÷ (exports to world + imports from world).</t>
  </si>
  <si>
    <t xml:space="preserve">Exports are attributed to the state of origin of movement, which may differ from where goods were produced.</t>
  </si>
  <si>
    <t xml:space="preserve">Imports are attributed to the state of the importer of record, which may differ from where goods are consumed.</t>
  </si>
  <si>
    <t xml:space="preserve">Services are excluded: U.S. agencies do not tabulate services trade by state.</t>
  </si>
  <si>
    <t xml:space="preserve">Retrieved Oct 27, 2026 from https://www.trade.gov/data-visualization/tradestats-express-trade-partner-state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</si>
</sst>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0"/>
    <numFmt numFmtId="166" formatCode="0.0%"/>
    <numFmt numFmtId="167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00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9"/>
      <name val="Arial"/>
      <family val="0"/>
      <charset val="1"/>
    </font>
    <font>
      <sz val="9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7"/>
    <col collapsed="false" customWidth="true" hidden="false" outlineLevel="0" max="6" min="3" style="0" width="14"/>
    <col collapsed="false" customWidth="true" hidden="false" outlineLevel="0" max="8" min="7" style="0" width="13"/>
    <col collapsed="false" customWidth="true" hidden="false" outlineLevel="0" max="9" min="9" style="0" width="14"/>
    <col collapsed="false" customWidth="true" hidden="false" outlineLevel="0" max="10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1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customFormat="false" ht="15" hidden="false" customHeight="false" outlineLevel="0" collapsed="false">
      <c r="A5" s="4" t="s">
        <v>12</v>
      </c>
      <c r="B5" s="4" t="s">
        <v>13</v>
      </c>
      <c r="C5" s="5" t="n">
        <v>4308.595257</v>
      </c>
      <c r="D5" s="5" t="n">
        <v>23670.940698</v>
      </c>
      <c r="E5" s="5" t="n">
        <v>3318.958088</v>
      </c>
      <c r="F5" s="5" t="n">
        <v>34954.827337</v>
      </c>
      <c r="G5" s="6" t="n">
        <f aca="false">IFERROR(C5/D5,0)</f>
        <v>0.182020449122415</v>
      </c>
      <c r="H5" s="6" t="n">
        <f aca="false">IFERROR(E5/F5,0)</f>
        <v>0.0949499208221479</v>
      </c>
      <c r="I5" s="7" t="n">
        <f aca="false">IFERROR((C5+E5)/(D5+F5),0)</f>
        <v>0.13010581525254</v>
      </c>
      <c r="J5" s="8" t="n">
        <f aca="false">RANK(I5,$I$5:$I$54)</f>
        <v>29</v>
      </c>
    </row>
    <row r="6" customFormat="false" ht="15" hidden="false" customHeight="false" outlineLevel="0" collapsed="false">
      <c r="A6" s="4" t="s">
        <v>14</v>
      </c>
      <c r="B6" s="4" t="s">
        <v>15</v>
      </c>
      <c r="C6" s="5" t="n">
        <v>634.95699</v>
      </c>
      <c r="D6" s="5" t="n">
        <v>6697.678989</v>
      </c>
      <c r="E6" s="5" t="n">
        <v>1278.531519</v>
      </c>
      <c r="F6" s="5" t="n">
        <v>3140.936855</v>
      </c>
      <c r="G6" s="6" t="n">
        <f aca="false">IFERROR(C6/D6,0)</f>
        <v>0.0948025414539616</v>
      </c>
      <c r="H6" s="6" t="n">
        <f aca="false">IFERROR(E6/F6,0)</f>
        <v>0.407054193708074</v>
      </c>
      <c r="I6" s="7" t="n">
        <f aca="false">IFERROR((C6+E6)/(D6+F6),0)</f>
        <v>0.194487572168693</v>
      </c>
      <c r="J6" s="8" t="n">
        <f aca="false">RANK(I6,$I$5:$I$54)</f>
        <v>18</v>
      </c>
    </row>
    <row r="7" customFormat="false" ht="15" hidden="false" customHeight="false" outlineLevel="0" collapsed="false">
      <c r="A7" s="4" t="s">
        <v>16</v>
      </c>
      <c r="B7" s="4" t="s">
        <v>17</v>
      </c>
      <c r="C7" s="5" t="n">
        <v>3016.951125</v>
      </c>
      <c r="D7" s="5" t="n">
        <v>44636.421272</v>
      </c>
      <c r="E7" s="5" t="n">
        <v>2772.682173</v>
      </c>
      <c r="F7" s="5" t="n">
        <v>57300.710944</v>
      </c>
      <c r="G7" s="6" t="n">
        <f aca="false">IFERROR(C7/D7,0)</f>
        <v>0.0675894491320366</v>
      </c>
      <c r="H7" s="6" t="n">
        <f aca="false">IFERROR(E7/F7,0)</f>
        <v>0.0483882682661607</v>
      </c>
      <c r="I7" s="7" t="n">
        <f aca="false">IFERROR((C7+E7)/(D7+F7),0)</f>
        <v>0.0567961170982527</v>
      </c>
      <c r="J7" s="8" t="n">
        <f aca="false">RANK(I7,$I$5:$I$54)</f>
        <v>47</v>
      </c>
    </row>
    <row r="8" customFormat="false" ht="15" hidden="false" customHeight="false" outlineLevel="0" collapsed="false">
      <c r="A8" s="4" t="s">
        <v>18</v>
      </c>
      <c r="B8" s="4" t="s">
        <v>19</v>
      </c>
      <c r="C8" s="5" t="n">
        <v>1303.721142</v>
      </c>
      <c r="D8" s="5" t="n">
        <v>6655.716297</v>
      </c>
      <c r="E8" s="5" t="n">
        <v>1064.656428</v>
      </c>
      <c r="F8" s="5" t="n">
        <v>6672.351206</v>
      </c>
      <c r="G8" s="6" t="n">
        <f aca="false">IFERROR(C8/D8,0)</f>
        <v>0.1958799149218</v>
      </c>
      <c r="H8" s="6" t="n">
        <f aca="false">IFERROR(E8/F8,0)</f>
        <v>0.159562408382015</v>
      </c>
      <c r="I8" s="7" t="n">
        <f aca="false">IFERROR((C8+E8)/(D8+F8),0)</f>
        <v>0.177698497510378</v>
      </c>
      <c r="J8" s="8" t="n">
        <f aca="false">RANK(I8,$I$5:$I$54)</f>
        <v>21</v>
      </c>
    </row>
    <row r="9" customFormat="false" ht="15" hidden="false" customHeight="false" outlineLevel="0" collapsed="false">
      <c r="A9" s="4" t="s">
        <v>20</v>
      </c>
      <c r="B9" s="4" t="s">
        <v>21</v>
      </c>
      <c r="C9" s="5" t="n">
        <v>17004.705811</v>
      </c>
      <c r="D9" s="5" t="n">
        <v>188159.38806</v>
      </c>
      <c r="E9" s="5" t="n">
        <v>15430.698357</v>
      </c>
      <c r="F9" s="5" t="n">
        <v>488062.987409</v>
      </c>
      <c r="G9" s="6" t="n">
        <f aca="false">IFERROR(C9/D9,0)</f>
        <v>0.090373942997612</v>
      </c>
      <c r="H9" s="6" t="n">
        <f aca="false">IFERROR(E9/F9,0)</f>
        <v>0.0316162027342364</v>
      </c>
      <c r="I9" s="7" t="n">
        <f aca="false">IFERROR((C9+E9)/(D9+F9),0)</f>
        <v>0.0479655884582407</v>
      </c>
      <c r="J9" s="8" t="n">
        <f aca="false">RANK(I9,$I$5:$I$54)</f>
        <v>48</v>
      </c>
    </row>
    <row r="10" customFormat="false" ht="15" hidden="false" customHeight="false" outlineLevel="0" collapsed="false">
      <c r="A10" s="4" t="s">
        <v>22</v>
      </c>
      <c r="B10" s="4" t="s">
        <v>23</v>
      </c>
      <c r="C10" s="5" t="n">
        <v>1619.80507</v>
      </c>
      <c r="D10" s="5" t="n">
        <v>11510.367859</v>
      </c>
      <c r="E10" s="5" t="n">
        <v>5321.615753</v>
      </c>
      <c r="F10" s="5" t="n">
        <v>16373.76662</v>
      </c>
      <c r="G10" s="6" t="n">
        <f aca="false">IFERROR(C10/D10,0)</f>
        <v>0.140725743072883</v>
      </c>
      <c r="H10" s="6" t="n">
        <f aca="false">IFERROR(E10/F10,0)</f>
        <v>0.325008648071228</v>
      </c>
      <c r="I10" s="7" t="n">
        <f aca="false">IFERROR((C10+E10)/(D10+F10),0)</f>
        <v>0.248938005525246</v>
      </c>
      <c r="J10" s="8" t="n">
        <f aca="false">RANK(I10,$I$5:$I$54)</f>
        <v>14</v>
      </c>
    </row>
    <row r="11" customFormat="false" ht="15" hidden="false" customHeight="false" outlineLevel="0" collapsed="false">
      <c r="A11" s="4" t="s">
        <v>24</v>
      </c>
      <c r="B11" s="4" t="s">
        <v>25</v>
      </c>
      <c r="C11" s="5" t="n">
        <v>2199.733067</v>
      </c>
      <c r="D11" s="5" t="n">
        <v>17802.454917</v>
      </c>
      <c r="E11" s="5" t="n">
        <v>5716.766651</v>
      </c>
      <c r="F11" s="5" t="n">
        <v>24026.410459</v>
      </c>
      <c r="G11" s="6" t="n">
        <f aca="false">IFERROR(C11/D11,0)</f>
        <v>0.123563467918092</v>
      </c>
      <c r="H11" s="6" t="n">
        <f aca="false">IFERROR(E11/F11,0)</f>
        <v>0.237936776313524</v>
      </c>
      <c r="I11" s="7" t="n">
        <f aca="false">IFERROR((C11+E11)/(D11+F11),0)</f>
        <v>0.189259250683434</v>
      </c>
      <c r="J11" s="8" t="n">
        <f aca="false">RANK(I11,$I$5:$I$54)</f>
        <v>20</v>
      </c>
    </row>
    <row r="12" customFormat="false" ht="15" hidden="false" customHeight="false" outlineLevel="0" collapsed="false">
      <c r="A12" s="4" t="s">
        <v>26</v>
      </c>
      <c r="B12" s="4" t="s">
        <v>27</v>
      </c>
      <c r="C12" s="5" t="n">
        <v>774.832037</v>
      </c>
      <c r="D12" s="5" t="n">
        <v>5507.411018</v>
      </c>
      <c r="E12" s="5" t="n">
        <v>987.567308</v>
      </c>
      <c r="F12" s="5" t="n">
        <v>10370.678792</v>
      </c>
      <c r="G12" s="6" t="n">
        <f aca="false">IFERROR(C12/D12,0)</f>
        <v>0.140688979716168</v>
      </c>
      <c r="H12" s="6" t="n">
        <f aca="false">IFERROR(E12/F12,0)</f>
        <v>0.0952268725902315</v>
      </c>
      <c r="I12" s="7" t="n">
        <f aca="false">IFERROR((C12+E12)/(D12+F12),0)</f>
        <v>0.110995678075208</v>
      </c>
      <c r="J12" s="8" t="n">
        <f aca="false">RANK(I12,$I$5:$I$54)</f>
        <v>30</v>
      </c>
    </row>
    <row r="13" customFormat="false" ht="15" hidden="false" customHeight="false" outlineLevel="0" collapsed="false">
      <c r="A13" s="4" t="s">
        <v>28</v>
      </c>
      <c r="B13" s="4" t="s">
        <v>29</v>
      </c>
      <c r="C13" s="5" t="n">
        <v>5597.974838</v>
      </c>
      <c r="D13" s="5" t="n">
        <v>79102.722491</v>
      </c>
      <c r="E13" s="5" t="n">
        <v>6262.037972</v>
      </c>
      <c r="F13" s="5" t="n">
        <v>115869.510282</v>
      </c>
      <c r="G13" s="6" t="n">
        <f aca="false">IFERROR(C13/D13,0)</f>
        <v>0.070768421891382</v>
      </c>
      <c r="H13" s="6" t="n">
        <f aca="false">IFERROR(E13/F13,0)</f>
        <v>0.0540438805407879</v>
      </c>
      <c r="I13" s="7" t="n">
        <f aca="false">IFERROR((C13+E13)/(D13+F13),0)</f>
        <v>0.0608292403555138</v>
      </c>
      <c r="J13" s="8" t="n">
        <f aca="false">RANK(I13,$I$5:$I$54)</f>
        <v>45</v>
      </c>
    </row>
    <row r="14" customFormat="false" ht="15" hidden="false" customHeight="false" outlineLevel="0" collapsed="false">
      <c r="A14" s="4" t="s">
        <v>30</v>
      </c>
      <c r="B14" s="4" t="s">
        <v>31</v>
      </c>
      <c r="C14" s="5" t="n">
        <v>6882.308605</v>
      </c>
      <c r="D14" s="5" t="n">
        <v>60289.717277</v>
      </c>
      <c r="E14" s="5" t="n">
        <v>6557.078294</v>
      </c>
      <c r="F14" s="5" t="n">
        <v>150487.298297</v>
      </c>
      <c r="G14" s="6" t="n">
        <f aca="false">IFERROR(C14/D14,0)</f>
        <v>0.114153937285514</v>
      </c>
      <c r="H14" s="6" t="n">
        <f aca="false">IFERROR(E14/F14,0)</f>
        <v>0.0435723038967649</v>
      </c>
      <c r="I14" s="7" t="n">
        <f aca="false">IFERROR((C14+E14)/(D14+F14),0)</f>
        <v>0.0637611594528042</v>
      </c>
      <c r="J14" s="8" t="n">
        <f aca="false">RANK(I14,$I$5:$I$54)</f>
        <v>43</v>
      </c>
    </row>
    <row r="15" customFormat="false" ht="15" hidden="false" customHeight="false" outlineLevel="0" collapsed="false">
      <c r="A15" s="4" t="s">
        <v>32</v>
      </c>
      <c r="B15" s="4" t="s">
        <v>33</v>
      </c>
      <c r="C15" s="5" t="n">
        <v>16.615345</v>
      </c>
      <c r="D15" s="5" t="n">
        <v>414.09977</v>
      </c>
      <c r="E15" s="5" t="n">
        <v>180.944868</v>
      </c>
      <c r="F15" s="5" t="n">
        <v>2713.901682</v>
      </c>
      <c r="G15" s="6" t="n">
        <f aca="false">IFERROR(C15/D15,0)</f>
        <v>0.0401240140751588</v>
      </c>
      <c r="H15" s="6" t="n">
        <f aca="false">IFERROR(E15/F15,0)</f>
        <v>0.0666733320518278</v>
      </c>
      <c r="I15" s="7" t="n">
        <f aca="false">IFERROR((C15+E15)/(D15+F15),0)</f>
        <v>0.0631586065516954</v>
      </c>
      <c r="J15" s="8" t="n">
        <f aca="false">RANK(I15,$I$5:$I$54)</f>
        <v>44</v>
      </c>
    </row>
    <row r="16" customFormat="false" ht="15" hidden="false" customHeight="false" outlineLevel="0" collapsed="false">
      <c r="A16" s="4" t="s">
        <v>34</v>
      </c>
      <c r="B16" s="4" t="s">
        <v>35</v>
      </c>
      <c r="C16" s="5" t="n">
        <v>1780.75959</v>
      </c>
      <c r="D16" s="5" t="n">
        <v>4609.449801</v>
      </c>
      <c r="E16" s="5" t="n">
        <v>1201.904154</v>
      </c>
      <c r="F16" s="5" t="n">
        <v>7114.50902</v>
      </c>
      <c r="G16" s="6" t="n">
        <f aca="false">IFERROR(C16/D16,0)</f>
        <v>0.386328014595944</v>
      </c>
      <c r="H16" s="6" t="n">
        <f aca="false">IFERROR(E16/F16,0)</f>
        <v>0.168937048308078</v>
      </c>
      <c r="I16" s="7" t="n">
        <f aca="false">IFERROR((C16+E16)/(D16+F16),0)</f>
        <v>0.254407558874861</v>
      </c>
      <c r="J16" s="8" t="n">
        <f aca="false">RANK(I16,$I$5:$I$54)</f>
        <v>13</v>
      </c>
    </row>
    <row r="17" customFormat="false" ht="15" hidden="false" customHeight="false" outlineLevel="0" collapsed="false">
      <c r="A17" s="4" t="s">
        <v>36</v>
      </c>
      <c r="B17" s="4" t="s">
        <v>37</v>
      </c>
      <c r="C17" s="5" t="n">
        <v>18089.216763</v>
      </c>
      <c r="D17" s="5" t="n">
        <v>80195.310147</v>
      </c>
      <c r="E17" s="5" t="n">
        <v>58308.646722</v>
      </c>
      <c r="F17" s="5" t="n">
        <v>210870.654425</v>
      </c>
      <c r="G17" s="6" t="n">
        <f aca="false">IFERROR(C17/D17,0)</f>
        <v>0.225564521539252</v>
      </c>
      <c r="H17" s="6" t="n">
        <f aca="false">IFERROR(E17/F17,0)</f>
        <v>0.276513803596785</v>
      </c>
      <c r="I17" s="7" t="n">
        <f aca="false">IFERROR((C17+E17)/(D17+F17),0)</f>
        <v>0.262476114640679</v>
      </c>
      <c r="J17" s="8" t="n">
        <f aca="false">RANK(I17,$I$5:$I$54)</f>
        <v>12</v>
      </c>
    </row>
    <row r="18" customFormat="false" ht="15" hidden="false" customHeight="false" outlineLevel="0" collapsed="false">
      <c r="A18" s="4" t="s">
        <v>38</v>
      </c>
      <c r="B18" s="4" t="s">
        <v>39</v>
      </c>
      <c r="C18" s="5" t="n">
        <v>12887.911275</v>
      </c>
      <c r="D18" s="5" t="n">
        <v>68572.510427</v>
      </c>
      <c r="E18" s="5" t="n">
        <v>10363.698612</v>
      </c>
      <c r="F18" s="5" t="n">
        <v>153099.660374</v>
      </c>
      <c r="G18" s="6" t="n">
        <f aca="false">IFERROR(C18/D18,0)</f>
        <v>0.187945740862441</v>
      </c>
      <c r="H18" s="6" t="n">
        <f aca="false">IFERROR(E18/F18,0)</f>
        <v>0.0676924990341782</v>
      </c>
      <c r="I18" s="7" t="n">
        <f aca="false">IFERROR((C18+E18)/(D18+F18),0)</f>
        <v>0.104891876156495</v>
      </c>
      <c r="J18" s="8" t="n">
        <f aca="false">RANK(I18,$I$5:$I$54)</f>
        <v>32</v>
      </c>
    </row>
    <row r="19" customFormat="false" ht="15" hidden="false" customHeight="false" outlineLevel="0" collapsed="false">
      <c r="A19" s="4" t="s">
        <v>40</v>
      </c>
      <c r="B19" s="4" t="s">
        <v>41</v>
      </c>
      <c r="C19" s="5" t="n">
        <v>4957.867389</v>
      </c>
      <c r="D19" s="5" t="n">
        <v>16309.659507</v>
      </c>
      <c r="E19" s="5" t="n">
        <v>3180.022312</v>
      </c>
      <c r="F19" s="5" t="n">
        <v>11973.003378</v>
      </c>
      <c r="G19" s="6" t="n">
        <f aca="false">IFERROR(C19/D19,0)</f>
        <v>0.303983500506072</v>
      </c>
      <c r="H19" s="6" t="n">
        <f aca="false">IFERROR(E19/F19,0)</f>
        <v>0.26559938317926</v>
      </c>
      <c r="I19" s="7" t="n">
        <f aca="false">IFERROR((C19+E19)/(D19+F19),0)</f>
        <v>0.287734211382055</v>
      </c>
      <c r="J19" s="8" t="n">
        <f aca="false">RANK(I19,$I$5:$I$54)</f>
        <v>11</v>
      </c>
    </row>
    <row r="20" customFormat="false" ht="15" hidden="false" customHeight="false" outlineLevel="0" collapsed="false">
      <c r="A20" s="4" t="s">
        <v>42</v>
      </c>
      <c r="B20" s="4" t="s">
        <v>43</v>
      </c>
      <c r="C20" s="5" t="n">
        <v>2389.193263</v>
      </c>
      <c r="D20" s="5" t="n">
        <v>14613.123962</v>
      </c>
      <c r="E20" s="5" t="n">
        <v>1973.585769</v>
      </c>
      <c r="F20" s="5" t="n">
        <v>13918.48343</v>
      </c>
      <c r="G20" s="6" t="n">
        <f aca="false">IFERROR(C20/D20,0)</f>
        <v>0.163496407011455</v>
      </c>
      <c r="H20" s="6" t="n">
        <f aca="false">IFERROR(E20/F20,0)</f>
        <v>0.141796035388893</v>
      </c>
      <c r="I20" s="7" t="n">
        <f aca="false">IFERROR((C20+E20)/(D20+F20),0)</f>
        <v>0.152910383633811</v>
      </c>
      <c r="J20" s="8" t="n">
        <f aca="false">RANK(I20,$I$5:$I$54)</f>
        <v>25</v>
      </c>
    </row>
    <row r="21" customFormat="false" ht="15" hidden="false" customHeight="false" outlineLevel="0" collapsed="false">
      <c r="A21" s="4" t="s">
        <v>44</v>
      </c>
      <c r="B21" s="4" t="s">
        <v>45</v>
      </c>
      <c r="C21" s="5" t="n">
        <v>9426.307842</v>
      </c>
      <c r="D21" s="5" t="n">
        <v>51651.730747</v>
      </c>
      <c r="E21" s="5" t="n">
        <v>4881.721299</v>
      </c>
      <c r="F21" s="5" t="n">
        <v>96939.490123</v>
      </c>
      <c r="G21" s="6" t="n">
        <f aca="false">IFERROR(C21/D21,0)</f>
        <v>0.182497424687894</v>
      </c>
      <c r="H21" s="6" t="n">
        <f aca="false">IFERROR(E21/F21,0)</f>
        <v>0.0503584379575951</v>
      </c>
      <c r="I21" s="7" t="n">
        <f aca="false">IFERROR((C21+E21)/(D21+F21),0)</f>
        <v>0.0962912146304919</v>
      </c>
      <c r="J21" s="8" t="n">
        <f aca="false">RANK(I21,$I$5:$I$54)</f>
        <v>35</v>
      </c>
    </row>
    <row r="22" customFormat="false" ht="15" hidden="false" customHeight="false" outlineLevel="0" collapsed="false">
      <c r="A22" s="4" t="s">
        <v>46</v>
      </c>
      <c r="B22" s="4" t="s">
        <v>47</v>
      </c>
      <c r="C22" s="5" t="n">
        <v>3243.76838</v>
      </c>
      <c r="D22" s="5" t="n">
        <v>92692.358633</v>
      </c>
      <c r="E22" s="5" t="n">
        <v>2681.565476</v>
      </c>
      <c r="F22" s="5" t="n">
        <v>33620.467886</v>
      </c>
      <c r="G22" s="6" t="n">
        <f aca="false">IFERROR(C22/D22,0)</f>
        <v>0.0349949923363496</v>
      </c>
      <c r="H22" s="6" t="n">
        <f aca="false">IFERROR(E22/F22,0)</f>
        <v>0.0797599095019329</v>
      </c>
      <c r="I22" s="7" t="n">
        <f aca="false">IFERROR((C22+E22)/(D22+F22),0)</f>
        <v>0.0469099933814616</v>
      </c>
      <c r="J22" s="8" t="n">
        <f aca="false">RANK(I22,$I$5:$I$54)</f>
        <v>49</v>
      </c>
    </row>
    <row r="23" customFormat="false" ht="15" hidden="false" customHeight="false" outlineLevel="0" collapsed="false">
      <c r="A23" s="4" t="s">
        <v>48</v>
      </c>
      <c r="B23" s="4" t="s">
        <v>49</v>
      </c>
      <c r="C23" s="5" t="n">
        <v>1316.403008</v>
      </c>
      <c r="D23" s="5" t="n">
        <v>3193.383392</v>
      </c>
      <c r="E23" s="5" t="n">
        <v>4118.209841</v>
      </c>
      <c r="F23" s="5" t="n">
        <v>5995.406736</v>
      </c>
      <c r="G23" s="6" t="n">
        <f aca="false">IFERROR(C23/D23,0)</f>
        <v>0.412228300334318</v>
      </c>
      <c r="H23" s="6" t="n">
        <f aca="false">IFERROR(E23/F23,0)</f>
        <v>0.68689415453197</v>
      </c>
      <c r="I23" s="7" t="n">
        <f aca="false">IFERROR((C23+E23)/(D23+F23),0)</f>
        <v>0.591439435801205</v>
      </c>
      <c r="J23" s="8" t="n">
        <f aca="false">RANK(I23,$I$5:$I$54)</f>
        <v>3</v>
      </c>
    </row>
    <row r="24" customFormat="false" ht="15" hidden="false" customHeight="false" outlineLevel="0" collapsed="false">
      <c r="A24" s="4" t="s">
        <v>50</v>
      </c>
      <c r="B24" s="4" t="s">
        <v>51</v>
      </c>
      <c r="C24" s="5" t="n">
        <v>2178.793319</v>
      </c>
      <c r="D24" s="5" t="n">
        <v>16561.406471</v>
      </c>
      <c r="E24" s="5" t="n">
        <v>2814.326455</v>
      </c>
      <c r="F24" s="5" t="n">
        <v>41371.248294</v>
      </c>
      <c r="G24" s="6" t="n">
        <f aca="false">IFERROR(C24/D24,0)</f>
        <v>0.131558471366257</v>
      </c>
      <c r="H24" s="6" t="n">
        <f aca="false">IFERROR(E24/F24,0)</f>
        <v>0.0680261430595547</v>
      </c>
      <c r="I24" s="7" t="n">
        <f aca="false">IFERROR((C24+E24)/(D24+F24),0)</f>
        <v>0.0861883473880881</v>
      </c>
      <c r="J24" s="8" t="n">
        <f aca="false">RANK(I24,$I$5:$I$54)</f>
        <v>37</v>
      </c>
    </row>
    <row r="25" customFormat="false" ht="15" hidden="false" customHeight="false" outlineLevel="0" collapsed="false">
      <c r="A25" s="4" t="s">
        <v>52</v>
      </c>
      <c r="B25" s="4" t="s">
        <v>53</v>
      </c>
      <c r="C25" s="5" t="n">
        <v>3159.499556</v>
      </c>
      <c r="D25" s="5" t="n">
        <v>38805.25984</v>
      </c>
      <c r="E25" s="5" t="n">
        <v>9964.422432</v>
      </c>
      <c r="F25" s="5" t="n">
        <v>42839.9776</v>
      </c>
      <c r="G25" s="6" t="n">
        <f aca="false">IFERROR(C25/D25,0)</f>
        <v>0.0814193634838962</v>
      </c>
      <c r="H25" s="6" t="n">
        <f aca="false">IFERROR(E25/F25,0)</f>
        <v>0.232596350190435</v>
      </c>
      <c r="I25" s="7" t="n">
        <f aca="false">IFERROR((C25+E25)/(D25+F25),0)</f>
        <v>0.160743264389973</v>
      </c>
      <c r="J25" s="8" t="n">
        <f aca="false">RANK(I25,$I$5:$I$54)</f>
        <v>24</v>
      </c>
    </row>
    <row r="26" customFormat="false" ht="15" hidden="false" customHeight="false" outlineLevel="0" collapsed="false">
      <c r="A26" s="4" t="s">
        <v>54</v>
      </c>
      <c r="B26" s="4" t="s">
        <v>55</v>
      </c>
      <c r="C26" s="5" t="n">
        <v>23245.152127</v>
      </c>
      <c r="D26" s="5" t="n">
        <v>60327.594711</v>
      </c>
      <c r="E26" s="5" t="n">
        <v>43380.948183</v>
      </c>
      <c r="F26" s="5" t="n">
        <v>167108.939624</v>
      </c>
      <c r="G26" s="6" t="n">
        <f aca="false">IFERROR(C26/D26,0)</f>
        <v>0.385315413922205</v>
      </c>
      <c r="H26" s="6" t="n">
        <f aca="false">IFERROR(E26/F26,0)</f>
        <v>0.25959681319628</v>
      </c>
      <c r="I26" s="7" t="n">
        <f aca="false">IFERROR((C26+E26)/(D26+F26),0)</f>
        <v>0.292943701876251</v>
      </c>
      <c r="J26" s="8" t="n">
        <f aca="false">RANK(I26,$I$5:$I$54)</f>
        <v>10</v>
      </c>
    </row>
    <row r="27" customFormat="false" ht="15" hidden="false" customHeight="false" outlineLevel="0" collapsed="false">
      <c r="A27" s="4" t="s">
        <v>56</v>
      </c>
      <c r="B27" s="4" t="s">
        <v>57</v>
      </c>
      <c r="C27" s="5" t="n">
        <v>5629.398417</v>
      </c>
      <c r="D27" s="5" t="n">
        <v>23552.010683</v>
      </c>
      <c r="E27" s="5" t="n">
        <v>12501.156566</v>
      </c>
      <c r="F27" s="5" t="n">
        <v>37261.030916</v>
      </c>
      <c r="G27" s="6" t="n">
        <f aca="false">IFERROR(C27/D27,0)</f>
        <v>0.239019865130383</v>
      </c>
      <c r="H27" s="6" t="n">
        <f aca="false">IFERROR(E27/F27,0)</f>
        <v>0.335502165632029</v>
      </c>
      <c r="I27" s="7" t="n">
        <f aca="false">IFERROR((C27+E27)/(D27+F27),0)</f>
        <v>0.298135967323465</v>
      </c>
      <c r="J27" s="8" t="n">
        <f aca="false">RANK(I27,$I$5:$I$54)</f>
        <v>9</v>
      </c>
    </row>
    <row r="28" customFormat="false" ht="15" hidden="false" customHeight="false" outlineLevel="0" collapsed="false">
      <c r="A28" s="4" t="s">
        <v>58</v>
      </c>
      <c r="B28" s="4" t="s">
        <v>59</v>
      </c>
      <c r="C28" s="5" t="n">
        <v>1809.803439</v>
      </c>
      <c r="D28" s="5" t="n">
        <v>14136.519266</v>
      </c>
      <c r="E28" s="5" t="n">
        <v>1391.467934</v>
      </c>
      <c r="F28" s="5" t="n">
        <v>23008.966459</v>
      </c>
      <c r="G28" s="6" t="n">
        <f aca="false">IFERROR(C28/D28,0)</f>
        <v>0.128023271142338</v>
      </c>
      <c r="H28" s="6" t="n">
        <f aca="false">IFERROR(E28/F28,0)</f>
        <v>0.060475029874961</v>
      </c>
      <c r="I28" s="7" t="n">
        <f aca="false">IFERROR((C28+E28)/(D28+F28),0)</f>
        <v>0.086181976369889</v>
      </c>
      <c r="J28" s="8" t="n">
        <f aca="false">RANK(I28,$I$5:$I$54)</f>
        <v>38</v>
      </c>
    </row>
    <row r="29" customFormat="false" ht="15" hidden="false" customHeight="false" outlineLevel="0" collapsed="false">
      <c r="A29" s="4" t="s">
        <v>60</v>
      </c>
      <c r="B29" s="4" t="s">
        <v>61</v>
      </c>
      <c r="C29" s="5" t="n">
        <v>6703.605361</v>
      </c>
      <c r="D29" s="5" t="n">
        <v>19637.012313</v>
      </c>
      <c r="E29" s="5" t="n">
        <v>3584.285332</v>
      </c>
      <c r="F29" s="5" t="n">
        <v>21841.21229</v>
      </c>
      <c r="G29" s="6" t="n">
        <f aca="false">IFERROR(C29/D29,0)</f>
        <v>0.341376032878592</v>
      </c>
      <c r="H29" s="6" t="n">
        <f aca="false">IFERROR(E29/F29,0)</f>
        <v>0.164106519565357</v>
      </c>
      <c r="I29" s="7" t="n">
        <f aca="false">IFERROR((C29+E29)/(D29+F29),0)</f>
        <v>0.248031124559172</v>
      </c>
      <c r="J29" s="8" t="n">
        <f aca="false">RANK(I29,$I$5:$I$54)</f>
        <v>15</v>
      </c>
    </row>
    <row r="30" customFormat="false" ht="15" hidden="false" customHeight="false" outlineLevel="0" collapsed="false">
      <c r="A30" s="4" t="s">
        <v>62</v>
      </c>
      <c r="B30" s="4" t="s">
        <v>63</v>
      </c>
      <c r="C30" s="5" t="n">
        <v>1007.652723</v>
      </c>
      <c r="D30" s="5" t="n">
        <v>2164.845794</v>
      </c>
      <c r="E30" s="5" t="n">
        <v>5749.080468</v>
      </c>
      <c r="F30" s="5" t="n">
        <v>6291.921366</v>
      </c>
      <c r="G30" s="6" t="n">
        <f aca="false">IFERROR(C30/D30,0)</f>
        <v>0.465461662808857</v>
      </c>
      <c r="H30" s="6" t="n">
        <f aca="false">IFERROR(E30/F30,0)</f>
        <v>0.913724144593831</v>
      </c>
      <c r="I30" s="7" t="n">
        <f aca="false">IFERROR((C30+E30)/(D30+F30),0)</f>
        <v>0.798973539552909</v>
      </c>
      <c r="J30" s="8" t="n">
        <f aca="false">RANK(I30,$I$5:$I$54)</f>
        <v>1</v>
      </c>
    </row>
    <row r="31" customFormat="false" ht="15" hidden="false" customHeight="false" outlineLevel="0" collapsed="false">
      <c r="A31" s="4" t="s">
        <v>64</v>
      </c>
      <c r="B31" s="4" t="s">
        <v>65</v>
      </c>
      <c r="C31" s="5" t="n">
        <v>1547.404371</v>
      </c>
      <c r="D31" s="5" t="n">
        <v>7811.928564</v>
      </c>
      <c r="E31" s="5" t="n">
        <v>1136.141403</v>
      </c>
      <c r="F31" s="5" t="n">
        <v>7964.754796</v>
      </c>
      <c r="G31" s="6" t="n">
        <f aca="false">IFERROR(C31/D31,0)</f>
        <v>0.198082247977914</v>
      </c>
      <c r="H31" s="6" t="n">
        <f aca="false">IFERROR(E31/F31,0)</f>
        <v>0.142646124344039</v>
      </c>
      <c r="I31" s="7" t="n">
        <f aca="false">IFERROR((C31+E31)/(D31+F31),0)</f>
        <v>0.170095685687895</v>
      </c>
      <c r="J31" s="8" t="n">
        <f aca="false">RANK(I31,$I$5:$I$54)</f>
        <v>22</v>
      </c>
    </row>
    <row r="32" customFormat="false" ht="15" hidden="false" customHeight="false" outlineLevel="0" collapsed="false">
      <c r="A32" s="4" t="s">
        <v>66</v>
      </c>
      <c r="B32" s="4" t="s">
        <v>67</v>
      </c>
      <c r="C32" s="5" t="n">
        <v>1648.724618</v>
      </c>
      <c r="D32" s="5" t="n">
        <v>12712.912655</v>
      </c>
      <c r="E32" s="5" t="n">
        <v>1200.647099</v>
      </c>
      <c r="F32" s="5" t="n">
        <v>36130.85204</v>
      </c>
      <c r="G32" s="6" t="n">
        <f aca="false">IFERROR(C32/D32,0)</f>
        <v>0.129688975511961</v>
      </c>
      <c r="H32" s="6" t="n">
        <f aca="false">IFERROR(E32/F32,0)</f>
        <v>0.0332305227031673</v>
      </c>
      <c r="I32" s="7" t="n">
        <f aca="false">IFERROR((C32+E32)/(D32+F32),0)</f>
        <v>0.0583364475443819</v>
      </c>
      <c r="J32" s="8" t="n">
        <f aca="false">RANK(I32,$I$5:$I$54)</f>
        <v>46</v>
      </c>
    </row>
    <row r="33" customFormat="false" ht="15" hidden="false" customHeight="false" outlineLevel="0" collapsed="false">
      <c r="A33" s="4" t="s">
        <v>68</v>
      </c>
      <c r="B33" s="4" t="s">
        <v>69</v>
      </c>
      <c r="C33" s="5" t="n">
        <v>859.174321</v>
      </c>
      <c r="D33" s="5" t="n">
        <v>7197.48844</v>
      </c>
      <c r="E33" s="5" t="n">
        <v>1945.445635</v>
      </c>
      <c r="F33" s="5" t="n">
        <v>10122.230617</v>
      </c>
      <c r="G33" s="6" t="n">
        <f aca="false">IFERROR(C33/D33,0)</f>
        <v>0.119371406868144</v>
      </c>
      <c r="H33" s="6" t="n">
        <f aca="false">IFERROR(E33/F33,0)</f>
        <v>0.192195347904115</v>
      </c>
      <c r="I33" s="7" t="n">
        <f aca="false">IFERROR((C33+E33)/(D33+F33),0)</f>
        <v>0.161932185318357</v>
      </c>
      <c r="J33" s="8" t="n">
        <f aca="false">RANK(I33,$I$5:$I$54)</f>
        <v>23</v>
      </c>
    </row>
    <row r="34" customFormat="false" ht="15" hidden="false" customHeight="false" outlineLevel="0" collapsed="false">
      <c r="A34" s="4" t="s">
        <v>70</v>
      </c>
      <c r="B34" s="4" t="s">
        <v>71</v>
      </c>
      <c r="C34" s="5" t="n">
        <v>7418.10507</v>
      </c>
      <c r="D34" s="5" t="n">
        <v>44107.975097</v>
      </c>
      <c r="E34" s="5" t="n">
        <v>8300.54606</v>
      </c>
      <c r="F34" s="5" t="n">
        <v>147774.880505</v>
      </c>
      <c r="G34" s="6" t="n">
        <f aca="false">IFERROR(C34/D34,0)</f>
        <v>0.168180585340553</v>
      </c>
      <c r="H34" s="6" t="n">
        <f aca="false">IFERROR(E34/F34,0)</f>
        <v>0.0561702099276551</v>
      </c>
      <c r="I34" s="7" t="n">
        <f aca="false">IFERROR((C34+E34)/(D34+F34),0)</f>
        <v>0.0819179549975186</v>
      </c>
      <c r="J34" s="8" t="n">
        <f aca="false">RANK(I34,$I$5:$I$54)</f>
        <v>39</v>
      </c>
    </row>
    <row r="35" customFormat="false" ht="15" hidden="false" customHeight="false" outlineLevel="0" collapsed="false">
      <c r="A35" s="4" t="s">
        <v>72</v>
      </c>
      <c r="B35" s="4" t="s">
        <v>73</v>
      </c>
      <c r="C35" s="5" t="n">
        <v>193.455233</v>
      </c>
      <c r="D35" s="5" t="n">
        <v>15269.689859</v>
      </c>
      <c r="E35" s="5" t="n">
        <v>582.220414</v>
      </c>
      <c r="F35" s="5" t="n">
        <v>12211.060432</v>
      </c>
      <c r="G35" s="6" t="n">
        <f aca="false">IFERROR(C35/D35,0)</f>
        <v>0.0126692313194545</v>
      </c>
      <c r="H35" s="6" t="n">
        <f aca="false">IFERROR(E35/F35,0)</f>
        <v>0.047679758628845</v>
      </c>
      <c r="I35" s="7" t="n">
        <f aca="false">IFERROR((C35+E35)/(D35+F35),0)</f>
        <v>0.028226145166569</v>
      </c>
      <c r="J35" s="8" t="n">
        <f aca="false">RANK(I35,$I$5:$I$54)</f>
        <v>50</v>
      </c>
    </row>
    <row r="36" customFormat="false" ht="15" hidden="false" customHeight="false" outlineLevel="0" collapsed="false">
      <c r="A36" s="4" t="s">
        <v>74</v>
      </c>
      <c r="B36" s="4" t="s">
        <v>75</v>
      </c>
      <c r="C36" s="5" t="n">
        <v>19983.799491</v>
      </c>
      <c r="D36" s="5" t="n">
        <v>158594.513579</v>
      </c>
      <c r="E36" s="5" t="n">
        <v>21282.072809</v>
      </c>
      <c r="F36" s="5" t="n">
        <v>213866.152916</v>
      </c>
      <c r="G36" s="6" t="n">
        <f aca="false">IFERROR(C36/D36,0)</f>
        <v>0.126005616714134</v>
      </c>
      <c r="H36" s="6" t="n">
        <f aca="false">IFERROR(E36/F36,0)</f>
        <v>0.0995111779906517</v>
      </c>
      <c r="I36" s="7" t="n">
        <f aca="false">IFERROR((C36+E36)/(D36+F36),0)</f>
        <v>0.11079256418759</v>
      </c>
      <c r="J36" s="8" t="n">
        <f aca="false">RANK(I36,$I$5:$I$54)</f>
        <v>31</v>
      </c>
    </row>
    <row r="37" customFormat="false" ht="15" hidden="false" customHeight="false" outlineLevel="0" collapsed="false">
      <c r="A37" s="4" t="s">
        <v>76</v>
      </c>
      <c r="B37" s="4" t="s">
        <v>77</v>
      </c>
      <c r="C37" s="5" t="n">
        <v>8713.903183</v>
      </c>
      <c r="D37" s="5" t="n">
        <v>43897.016041</v>
      </c>
      <c r="E37" s="5" t="n">
        <v>4633.369341</v>
      </c>
      <c r="F37" s="5" t="n">
        <v>101969.368807</v>
      </c>
      <c r="G37" s="6" t="n">
        <f aca="false">IFERROR(C37/D37,0)</f>
        <v>0.198507870668502</v>
      </c>
      <c r="H37" s="6" t="n">
        <f aca="false">IFERROR(E37/F37,0)</f>
        <v>0.0454388351640157</v>
      </c>
      <c r="I37" s="7" t="n">
        <f aca="false">IFERROR((C37+E37)/(D37+F37),0)</f>
        <v>0.0915034162114083</v>
      </c>
      <c r="J37" s="8" t="n">
        <f aca="false">RANK(I37,$I$5:$I$54)</f>
        <v>36</v>
      </c>
    </row>
    <row r="38" customFormat="false" ht="15" hidden="false" customHeight="false" outlineLevel="0" collapsed="false">
      <c r="A38" s="4" t="s">
        <v>78</v>
      </c>
      <c r="B38" s="4" t="s">
        <v>79</v>
      </c>
      <c r="C38" s="5" t="n">
        <v>6993.587175</v>
      </c>
      <c r="D38" s="5" t="n">
        <v>8676.532445</v>
      </c>
      <c r="E38" s="5" t="n">
        <v>2652.108382</v>
      </c>
      <c r="F38" s="5" t="n">
        <v>3924.85308</v>
      </c>
      <c r="G38" s="6" t="n">
        <f aca="false">IFERROR(C38/D38,0)</f>
        <v>0.806034809335632</v>
      </c>
      <c r="H38" s="6" t="n">
        <f aca="false">IFERROR(E38/F38,0)</f>
        <v>0.675721696568576</v>
      </c>
      <c r="I38" s="7" t="n">
        <f aca="false">IFERROR((C38+E38)/(D38+F38),0)</f>
        <v>0.765447223074305</v>
      </c>
      <c r="J38" s="8" t="n">
        <f aca="false">RANK(I38,$I$5:$I$54)</f>
        <v>2</v>
      </c>
    </row>
    <row r="39" customFormat="false" ht="15" hidden="false" customHeight="false" outlineLevel="0" collapsed="false">
      <c r="A39" s="4" t="s">
        <v>80</v>
      </c>
      <c r="B39" s="4" t="s">
        <v>81</v>
      </c>
      <c r="C39" s="5" t="n">
        <v>18276.216933</v>
      </c>
      <c r="D39" s="5" t="n">
        <v>56513.528191</v>
      </c>
      <c r="E39" s="5" t="n">
        <v>16253.163051</v>
      </c>
      <c r="F39" s="5" t="n">
        <v>87057.884054</v>
      </c>
      <c r="G39" s="6" t="n">
        <f aca="false">IFERROR(C39/D39,0)</f>
        <v>0.323395433235587</v>
      </c>
      <c r="H39" s="6" t="n">
        <f aca="false">IFERROR(E39/F39,0)</f>
        <v>0.186693752410965</v>
      </c>
      <c r="I39" s="7" t="n">
        <f aca="false">IFERROR((C39+E39)/(D39+F39),0)</f>
        <v>0.240503171516323</v>
      </c>
      <c r="J39" s="8" t="n">
        <f aca="false">RANK(I39,$I$5:$I$54)</f>
        <v>16</v>
      </c>
    </row>
    <row r="40" customFormat="false" ht="15" hidden="false" customHeight="false" outlineLevel="0" collapsed="false">
      <c r="A40" s="4" t="s">
        <v>82</v>
      </c>
      <c r="B40" s="4" t="s">
        <v>83</v>
      </c>
      <c r="C40" s="5" t="n">
        <v>1674.540124</v>
      </c>
      <c r="D40" s="5" t="n">
        <v>7496.084388</v>
      </c>
      <c r="E40" s="5" t="n">
        <v>7833.453608</v>
      </c>
      <c r="F40" s="5" t="n">
        <v>17062.553715</v>
      </c>
      <c r="G40" s="6" t="n">
        <f aca="false">IFERROR(C40/D40,0)</f>
        <v>0.223388643633824</v>
      </c>
      <c r="H40" s="6" t="n">
        <f aca="false">IFERROR(E40/F40,0)</f>
        <v>0.459102062847337</v>
      </c>
      <c r="I40" s="7" t="n">
        <f aca="false">IFERROR((C40+E40)/(D40+F40),0)</f>
        <v>0.387154763717885</v>
      </c>
      <c r="J40" s="8" t="n">
        <f aca="false">RANK(I40,$I$5:$I$54)</f>
        <v>7</v>
      </c>
    </row>
    <row r="41" customFormat="false" ht="15" hidden="false" customHeight="false" outlineLevel="0" collapsed="false">
      <c r="A41" s="4" t="s">
        <v>84</v>
      </c>
      <c r="B41" s="4" t="s">
        <v>85</v>
      </c>
      <c r="C41" s="5" t="n">
        <v>2308.680047</v>
      </c>
      <c r="D41" s="5" t="n">
        <v>27947.397133</v>
      </c>
      <c r="E41" s="5" t="n">
        <v>3492.985777</v>
      </c>
      <c r="F41" s="5" t="n">
        <v>30751.382085</v>
      </c>
      <c r="G41" s="6" t="n">
        <f aca="false">IFERROR(C41/D41,0)</f>
        <v>0.0826080524069247</v>
      </c>
      <c r="H41" s="6" t="n">
        <f aca="false">IFERROR(E41/F41,0)</f>
        <v>0.113587928091981</v>
      </c>
      <c r="I41" s="7" t="n">
        <f aca="false">IFERROR((C41+E41)/(D41+F41),0)</f>
        <v>0.0988379298733511</v>
      </c>
      <c r="J41" s="8" t="n">
        <f aca="false">RANK(I41,$I$5:$I$54)</f>
        <v>34</v>
      </c>
    </row>
    <row r="42" customFormat="false" ht="15" hidden="false" customHeight="false" outlineLevel="0" collapsed="false">
      <c r="A42" s="4" t="s">
        <v>86</v>
      </c>
      <c r="B42" s="4" t="s">
        <v>87</v>
      </c>
      <c r="C42" s="5" t="n">
        <v>13977.198818</v>
      </c>
      <c r="D42" s="5" t="n">
        <v>52275.004475</v>
      </c>
      <c r="E42" s="5" t="n">
        <v>13384.151945</v>
      </c>
      <c r="F42" s="5" t="n">
        <v>136183.094821</v>
      </c>
      <c r="G42" s="6" t="n">
        <f aca="false">IFERROR(C42/D42,0)</f>
        <v>0.267378242400428</v>
      </c>
      <c r="H42" s="6" t="n">
        <f aca="false">IFERROR(E42/F42,0)</f>
        <v>0.0982805682496217</v>
      </c>
      <c r="I42" s="7" t="n">
        <f aca="false">IFERROR((C42+E42)/(D42+F42),0)</f>
        <v>0.145185326951776</v>
      </c>
      <c r="J42" s="8" t="n">
        <f aca="false">RANK(I42,$I$5:$I$54)</f>
        <v>26</v>
      </c>
    </row>
    <row r="43" customFormat="false" ht="15" hidden="false" customHeight="false" outlineLevel="0" collapsed="false">
      <c r="A43" s="4" t="s">
        <v>88</v>
      </c>
      <c r="B43" s="4" t="s">
        <v>89</v>
      </c>
      <c r="C43" s="5" t="n">
        <v>595.689859</v>
      </c>
      <c r="D43" s="5" t="n">
        <v>4163.808991</v>
      </c>
      <c r="E43" s="5" t="n">
        <v>1469.870285</v>
      </c>
      <c r="F43" s="5" t="n">
        <v>11303.350507</v>
      </c>
      <c r="G43" s="6" t="n">
        <f aca="false">IFERROR(C43/D43,0)</f>
        <v>0.143063685266921</v>
      </c>
      <c r="H43" s="6" t="n">
        <f aca="false">IFERROR(E43/F43,0)</f>
        <v>0.130038459312549</v>
      </c>
      <c r="I43" s="7" t="n">
        <f aca="false">IFERROR((C43+E43)/(D43+F43),0)</f>
        <v>0.133544891954278</v>
      </c>
      <c r="J43" s="8" t="n">
        <f aca="false">RANK(I43,$I$5:$I$54)</f>
        <v>28</v>
      </c>
    </row>
    <row r="44" customFormat="false" ht="15" hidden="false" customHeight="false" outlineLevel="0" collapsed="false">
      <c r="A44" s="4" t="s">
        <v>90</v>
      </c>
      <c r="B44" s="4" t="s">
        <v>91</v>
      </c>
      <c r="C44" s="5" t="n">
        <v>4076.575232</v>
      </c>
      <c r="D44" s="5" t="n">
        <v>38599.121417</v>
      </c>
      <c r="E44" s="5" t="n">
        <v>3605.830623</v>
      </c>
      <c r="F44" s="5" t="n">
        <v>56149.683976</v>
      </c>
      <c r="G44" s="6" t="n">
        <f aca="false">IFERROR(C44/D44,0)</f>
        <v>0.105613161189845</v>
      </c>
      <c r="H44" s="6" t="n">
        <f aca="false">IFERROR(E44/F44,0)</f>
        <v>0.0642181819677068</v>
      </c>
      <c r="I44" s="7" t="n">
        <f aca="false">IFERROR((C44+E44)/(D44+F44),0)</f>
        <v>0.0810818228592418</v>
      </c>
      <c r="J44" s="8" t="n">
        <f aca="false">RANK(I44,$I$5:$I$54)</f>
        <v>40</v>
      </c>
    </row>
    <row r="45" customFormat="false" ht="15" hidden="false" customHeight="false" outlineLevel="0" collapsed="false">
      <c r="A45" s="4" t="s">
        <v>92</v>
      </c>
      <c r="B45" s="4" t="s">
        <v>93</v>
      </c>
      <c r="C45" s="5" t="n">
        <v>851.353423</v>
      </c>
      <c r="D45" s="5" t="n">
        <v>1855.997981</v>
      </c>
      <c r="E45" s="5" t="n">
        <v>553.559839</v>
      </c>
      <c r="F45" s="5" t="n">
        <v>1537.058906</v>
      </c>
      <c r="G45" s="6" t="n">
        <f aca="false">IFERROR(C45/D45,0)</f>
        <v>0.45870385189821</v>
      </c>
      <c r="H45" s="6" t="n">
        <f aca="false">IFERROR(E45/F45,0)</f>
        <v>0.360142241028725</v>
      </c>
      <c r="I45" s="7" t="n">
        <f aca="false">IFERROR((C45+E45)/(D45+F45),0)</f>
        <v>0.4140553220262</v>
      </c>
      <c r="J45" s="8" t="n">
        <f aca="false">RANK(I45,$I$5:$I$54)</f>
        <v>5</v>
      </c>
    </row>
    <row r="46" customFormat="false" ht="15" hidden="false" customHeight="false" outlineLevel="0" collapsed="false">
      <c r="A46" s="4" t="s">
        <v>94</v>
      </c>
      <c r="B46" s="4" t="s">
        <v>95</v>
      </c>
      <c r="C46" s="5" t="n">
        <v>6549.569644</v>
      </c>
      <c r="D46" s="5" t="n">
        <v>37834.602024</v>
      </c>
      <c r="E46" s="5" t="n">
        <v>4864.448757</v>
      </c>
      <c r="F46" s="5" t="n">
        <v>119531.102304</v>
      </c>
      <c r="G46" s="6" t="n">
        <f aca="false">IFERROR(C46/D46,0)</f>
        <v>0.173110573221977</v>
      </c>
      <c r="H46" s="6" t="n">
        <f aca="false">IFERROR(E46/F46,0)</f>
        <v>0.0406960921738042</v>
      </c>
      <c r="I46" s="7" t="n">
        <f aca="false">IFERROR((C46+E46)/(D46+F46),0)</f>
        <v>0.0725318038624831</v>
      </c>
      <c r="J46" s="8" t="n">
        <f aca="false">RANK(I46,$I$5:$I$54)</f>
        <v>42</v>
      </c>
    </row>
    <row r="47" customFormat="false" ht="15" hidden="false" customHeight="false" outlineLevel="0" collapsed="false">
      <c r="A47" s="4" t="s">
        <v>96</v>
      </c>
      <c r="B47" s="4" t="s">
        <v>97</v>
      </c>
      <c r="C47" s="5" t="n">
        <v>34807.443016</v>
      </c>
      <c r="D47" s="5" t="n">
        <v>448199.46436</v>
      </c>
      <c r="E47" s="5" t="n">
        <v>34384.994588</v>
      </c>
      <c r="F47" s="5" t="n">
        <v>411193.079159</v>
      </c>
      <c r="G47" s="6" t="n">
        <f aca="false">IFERROR(C47/D47,0)</f>
        <v>0.0776606082421423</v>
      </c>
      <c r="H47" s="6" t="n">
        <f aca="false">IFERROR(E47/F47,0)</f>
        <v>0.083622503224827</v>
      </c>
      <c r="I47" s="7" t="n">
        <f aca="false">IFERROR((C47+E47)/(D47+F47),0)</f>
        <v>0.080513192866061</v>
      </c>
      <c r="J47" s="8" t="n">
        <f aca="false">RANK(I47,$I$5:$I$54)</f>
        <v>41</v>
      </c>
    </row>
    <row r="48" customFormat="false" ht="15" hidden="false" customHeight="false" outlineLevel="0" collapsed="false">
      <c r="A48" s="4" t="s">
        <v>98</v>
      </c>
      <c r="B48" s="4" t="s">
        <v>99</v>
      </c>
      <c r="C48" s="5" t="n">
        <v>1533.885142</v>
      </c>
      <c r="D48" s="5" t="n">
        <v>22407.246204</v>
      </c>
      <c r="E48" s="5" t="n">
        <v>5725.781681</v>
      </c>
      <c r="F48" s="5" t="n">
        <v>28623.757212</v>
      </c>
      <c r="G48" s="6" t="n">
        <f aca="false">IFERROR(C48/D48,0)</f>
        <v>0.0684548707161606</v>
      </c>
      <c r="H48" s="6" t="n">
        <f aca="false">IFERROR(E48/F48,0)</f>
        <v>0.200035992430776</v>
      </c>
      <c r="I48" s="7" t="n">
        <f aca="false">IFERROR((C48+E48)/(D48+F48),0)</f>
        <v>0.142259927045131</v>
      </c>
      <c r="J48" s="8" t="n">
        <f aca="false">RANK(I48,$I$5:$I$54)</f>
        <v>27</v>
      </c>
    </row>
    <row r="49" customFormat="false" ht="15" hidden="false" customHeight="false" outlineLevel="0" collapsed="false">
      <c r="A49" s="4" t="s">
        <v>100</v>
      </c>
      <c r="B49" s="4" t="s">
        <v>101</v>
      </c>
      <c r="C49" s="5" t="n">
        <v>635.387317</v>
      </c>
      <c r="D49" s="5" t="n">
        <v>2059.298654</v>
      </c>
      <c r="E49" s="5" t="n">
        <v>2775.926634</v>
      </c>
      <c r="F49" s="5" t="n">
        <v>3964.472598</v>
      </c>
      <c r="G49" s="6" t="n">
        <f aca="false">IFERROR(C49/D49,0)</f>
        <v>0.308545492304294</v>
      </c>
      <c r="H49" s="6" t="n">
        <f aca="false">IFERROR(E49/F49,0)</f>
        <v>0.700200736763927</v>
      </c>
      <c r="I49" s="7" t="n">
        <f aca="false">IFERROR((C49+E49)/(D49+F49),0)</f>
        <v>0.566308680773259</v>
      </c>
      <c r="J49" s="8" t="n">
        <f aca="false">RANK(I49,$I$5:$I$54)</f>
        <v>4</v>
      </c>
    </row>
    <row r="50" customFormat="false" ht="15" hidden="false" customHeight="false" outlineLevel="0" collapsed="false">
      <c r="A50" s="4" t="s">
        <v>102</v>
      </c>
      <c r="B50" s="4" t="s">
        <v>103</v>
      </c>
      <c r="C50" s="5" t="n">
        <v>2961.326618</v>
      </c>
      <c r="D50" s="5" t="n">
        <v>19110.548269</v>
      </c>
      <c r="E50" s="5" t="n">
        <v>3341.009152</v>
      </c>
      <c r="F50" s="5" t="n">
        <v>43618.643307</v>
      </c>
      <c r="G50" s="6" t="n">
        <f aca="false">IFERROR(C50/D50,0)</f>
        <v>0.15495770065392</v>
      </c>
      <c r="H50" s="6" t="n">
        <f aca="false">IFERROR(E50/F50,0)</f>
        <v>0.0765958979623704</v>
      </c>
      <c r="I50" s="7" t="n">
        <f aca="false">IFERROR((C50+E50)/(D50+F50),0)</f>
        <v>0.100468946142313</v>
      </c>
      <c r="J50" s="8" t="n">
        <f aca="false">RANK(I50,$I$5:$I$54)</f>
        <v>33</v>
      </c>
    </row>
    <row r="51" customFormat="false" ht="15" hidden="false" customHeight="false" outlineLevel="0" collapsed="false">
      <c r="A51" s="4" t="s">
        <v>104</v>
      </c>
      <c r="B51" s="4" t="s">
        <v>105</v>
      </c>
      <c r="C51" s="5" t="n">
        <v>7119.802643</v>
      </c>
      <c r="D51" s="5" t="n">
        <v>65403.555793</v>
      </c>
      <c r="E51" s="5" t="n">
        <v>15847.140509</v>
      </c>
      <c r="F51" s="5" t="n">
        <v>55455.2456</v>
      </c>
      <c r="G51" s="6" t="n">
        <f aca="false">IFERROR(C51/D51,0)</f>
        <v>0.108859565151686</v>
      </c>
      <c r="H51" s="6" t="n">
        <f aca="false">IFERROR(E51/F51,0)</f>
        <v>0.285764499598574</v>
      </c>
      <c r="I51" s="7" t="n">
        <f aca="false">IFERROR((C51+E51)/(D51+F51),0)</f>
        <v>0.19003120076723</v>
      </c>
      <c r="J51" s="8" t="n">
        <f aca="false">RANK(I51,$I$5:$I$54)</f>
        <v>19</v>
      </c>
    </row>
    <row r="52" customFormat="false" ht="15" hidden="false" customHeight="false" outlineLevel="0" collapsed="false">
      <c r="A52" s="4" t="s">
        <v>106</v>
      </c>
      <c r="B52" s="4" t="s">
        <v>107</v>
      </c>
      <c r="C52" s="5" t="n">
        <v>2049.886781</v>
      </c>
      <c r="D52" s="5" t="n">
        <v>4647.813112</v>
      </c>
      <c r="E52" s="5" t="n">
        <v>1843.199919</v>
      </c>
      <c r="F52" s="5" t="n">
        <v>4885.342168</v>
      </c>
      <c r="G52" s="6" t="n">
        <f aca="false">IFERROR(C52/D52,0)</f>
        <v>0.441043288876543</v>
      </c>
      <c r="H52" s="6" t="n">
        <f aca="false">IFERROR(E52/F52,0)</f>
        <v>0.377291877542036</v>
      </c>
      <c r="I52" s="7" t="n">
        <f aca="false">IFERROR((C52+E52)/(D52+F52),0)</f>
        <v>0.408373364920161</v>
      </c>
      <c r="J52" s="8" t="n">
        <f aca="false">RANK(I52,$I$5:$I$54)</f>
        <v>6</v>
      </c>
    </row>
    <row r="53" customFormat="false" ht="15" hidden="false" customHeight="false" outlineLevel="0" collapsed="false">
      <c r="A53" s="4" t="s">
        <v>108</v>
      </c>
      <c r="B53" s="4" t="s">
        <v>109</v>
      </c>
      <c r="C53" s="5" t="n">
        <v>7564.561296</v>
      </c>
      <c r="D53" s="5" t="n">
        <v>27157.816206</v>
      </c>
      <c r="E53" s="5" t="n">
        <v>5702.363582</v>
      </c>
      <c r="F53" s="5" t="n">
        <v>36453.529501</v>
      </c>
      <c r="G53" s="6" t="n">
        <f aca="false">IFERROR(C53/D53,0)</f>
        <v>0.278540853160673</v>
      </c>
      <c r="H53" s="6" t="n">
        <f aca="false">IFERROR(E53/F53,0)</f>
        <v>0.156428298166398</v>
      </c>
      <c r="I53" s="7" t="n">
        <f aca="false">IFERROR((C53+E53)/(D53+F53),0)</f>
        <v>0.208562242011177</v>
      </c>
      <c r="J53" s="8" t="n">
        <f aca="false">RANK(I53,$I$5:$I$54)</f>
        <v>17</v>
      </c>
    </row>
    <row r="54" customFormat="false" ht="15" hidden="false" customHeight="false" outlineLevel="0" collapsed="false">
      <c r="A54" s="4" t="s">
        <v>110</v>
      </c>
      <c r="B54" s="4" t="s">
        <v>111</v>
      </c>
      <c r="C54" s="5" t="n">
        <v>490.905577</v>
      </c>
      <c r="D54" s="5" t="n">
        <v>1999.885513</v>
      </c>
      <c r="E54" s="5" t="n">
        <v>480.860326</v>
      </c>
      <c r="F54" s="5" t="n">
        <v>987.744111</v>
      </c>
      <c r="G54" s="6" t="n">
        <f aca="false">IFERROR(C54/D54,0)</f>
        <v>0.245466839881049</v>
      </c>
      <c r="H54" s="6" t="n">
        <f aca="false">IFERROR(E54/F54,0)</f>
        <v>0.48682682148636</v>
      </c>
      <c r="I54" s="7" t="n">
        <f aca="false">IFERROR((C54+E54)/(D54+F54),0)</f>
        <v>0.325263176932537</v>
      </c>
      <c r="J54" s="8" t="n">
        <f aca="false">RANK(I54,$I$5:$I$54)</f>
        <v>8</v>
      </c>
    </row>
    <row r="55" customFormat="false" ht="15" hidden="false" customHeight="false" outlineLevel="0" collapsed="false">
      <c r="A55" s="9" t="s">
        <v>112</v>
      </c>
      <c r="B55" s="10"/>
      <c r="C55" s="11" t="n">
        <f aca="false">SUM(C5:C54)</f>
        <v>294016.707671</v>
      </c>
      <c r="D55" s="11" t="n">
        <f aca="false">SUM(D5:D54)</f>
        <v>2067408.323733</v>
      </c>
      <c r="E55" s="11" t="n">
        <f aca="false">SUM(E5:E54)</f>
        <v>378277.870385</v>
      </c>
      <c r="F55" s="11" t="n">
        <f aca="false">SUM(F5:F54)</f>
        <v>3361950.429021</v>
      </c>
      <c r="G55" s="12" t="n">
        <f aca="false">C55/D55</f>
        <v>0.142215112658592</v>
      </c>
      <c r="H55" s="12" t="n">
        <f aca="false">E55/F55</f>
        <v>0.11251738488457</v>
      </c>
      <c r="I55" s="12" t="n">
        <f aca="false">(C55+E55)/(D55+F55)</f>
        <v>0.12382577918893</v>
      </c>
      <c r="J55" s="10"/>
    </row>
    <row r="57" customFormat="false" ht="15" hidden="false" customHeight="false" outlineLevel="0" collapsed="false">
      <c r="A57" s="13" t="s">
        <v>113</v>
      </c>
    </row>
    <row r="58" customFormat="false" ht="15" hidden="false" customHeight="false" outlineLevel="0" collapsed="false">
      <c r="A58" s="14" t="s">
        <v>114</v>
      </c>
    </row>
    <row r="59" customFormat="false" ht="15" hidden="false" customHeight="false" outlineLevel="0" collapsed="false">
      <c r="A59" s="14" t="s">
        <v>115</v>
      </c>
    </row>
    <row r="60" customFormat="false" ht="15" hidden="false" customHeight="false" outlineLevel="0" collapsed="false">
      <c r="A60" s="14" t="s">
        <v>116</v>
      </c>
    </row>
    <row r="61" customFormat="false" ht="15" hidden="false" customHeight="false" outlineLevel="0" collapsed="false">
      <c r="A61" s="14" t="s">
        <v>117</v>
      </c>
    </row>
    <row r="62" customFormat="false" ht="15" hidden="false" customHeight="false" outlineLevel="0" collapsed="false">
      <c r="A62" s="14" t="s">
        <v>118</v>
      </c>
    </row>
    <row r="63" customFormat="false" ht="15" hidden="false" customHeight="false" outlineLevel="0" collapsed="false">
      <c r="A63" s="14" t="s">
        <v>119</v>
      </c>
    </row>
  </sheetData>
  <autoFilter ref="A4:J5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2026-10-27T15:27:02Z</dcterms:created>
  <dc:creator>openpyxl</dc:creator>
  <dc:description/>
  <dc:language>en-US</dc:language>
  <cp:lastModifiedBy/>
  <dcterms:modified xsi:type="dcterms:W3CDTF">2026-10-27T15:27:03Z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